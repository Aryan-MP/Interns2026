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RICES" sheetId="1" state="hidden" r:id="rId1"/>
    <sheet xmlns:r="http://schemas.openxmlformats.org/officeDocument/2006/relationships" name="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00"/>
    <numFmt numFmtId="165" formatCode="#,##0.0"/>
    <numFmt numFmtId="166" formatCode="$#,##0.00"/>
    <numFmt numFmtId="167" formatCode="$#,##0.0000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b val="1"/>
      <color rgb="00000000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color rgb="000000CD"/>
      <sz val="10"/>
    </font>
    <font>
      <name val="Calibri"/>
      <b val="1"/>
      <color rgb="00000000"/>
      <sz val="10"/>
    </font>
    <font>
      <name val="Calibri"/>
      <b val="1"/>
      <color rgb="000D4F6E"/>
      <sz val="12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i val="1"/>
      <color rgb="00555555"/>
      <sz val="9"/>
    </font>
    <font>
      <name val="Calibri"/>
      <i val="1"/>
      <color rgb="00FFFFFF"/>
      <sz val="9"/>
    </font>
    <font>
      <name val="Calibri"/>
      <color rgb="00000000"/>
      <sz val="9"/>
    </font>
    <font>
      <name val="Calibri"/>
      <b val="1"/>
      <color rgb="000000CD"/>
      <sz val="10"/>
    </font>
  </fonts>
  <fills count="13">
    <fill>
      <patternFill/>
    </fill>
    <fill>
      <patternFill patternType="gray125"/>
    </fill>
    <fill>
      <patternFill patternType="solid">
        <fgColor rgb="000D4F6E"/>
      </patternFill>
    </fill>
    <fill>
      <patternFill patternType="solid">
        <fgColor rgb="001A6B8A"/>
      </patternFill>
    </fill>
    <fill>
      <patternFill patternType="solid">
        <fgColor rgb="0000AA44"/>
      </patternFill>
    </fill>
    <fill>
      <patternFill patternType="solid">
        <fgColor rgb="00061F2A"/>
      </patternFill>
    </fill>
    <fill>
      <patternFill patternType="solid">
        <fgColor rgb="00F5FAFE"/>
      </patternFill>
    </fill>
    <fill>
      <patternFill patternType="solid">
        <fgColor rgb="00EBF5FB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FE5E5"/>
      </patternFill>
    </fill>
    <fill>
      <patternFill patternType="solid">
        <fgColor rgb="00F0F4FA"/>
      </patternFill>
    </fill>
    <fill>
      <patternFill patternType="solid">
        <fgColor rgb="000F3F5A"/>
      </patternFill>
    </fill>
  </fills>
  <borders count="1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AA44"/>
      </left>
      <right style="thin">
        <color rgb="0000AA44"/>
      </right>
      <top style="thin">
        <color rgb="0000AA44"/>
      </top>
      <bottom style="thin">
        <color rgb="0000AA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2E86C1"/>
      </left>
      <right style="thin">
        <color rgb="002E86C1"/>
      </right>
      <top style="thin">
        <color rgb="002E86C1"/>
      </top>
      <bottom style="thin">
        <color rgb="002E86C1"/>
      </bottom>
    </border>
    <border>
      <left style="medium">
        <color rgb="000D4F6E"/>
      </left>
      <right style="medium">
        <color rgb="000D4F6E"/>
      </right>
      <top style="medium">
        <color rgb="000D4F6E"/>
      </top>
      <bottom style="medium">
        <color rgb="000D4F6E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indent="1"/>
    </xf>
    <xf numFmtId="0" fontId="2" fillId="3" borderId="1" applyAlignment="1" pivotButton="0" quotePrefix="0" xfId="0">
      <alignment horizontal="right" vertical="center" indent="1"/>
    </xf>
    <xf numFmtId="3" fontId="3" fillId="4" borderId="2" applyAlignment="1" pivotButton="0" quotePrefix="0" xfId="0">
      <alignment horizontal="center" vertical="center"/>
    </xf>
    <xf numFmtId="0" fontId="0" fillId="3" borderId="1" pivotButton="0" quotePrefix="0" xfId="0"/>
    <xf numFmtId="0" fontId="0" fillId="5" borderId="0" pivotButton="0" quotePrefix="0" xfId="0"/>
    <xf numFmtId="0" fontId="4" fillId="2" borderId="1" applyAlignment="1" pivotButton="0" quotePrefix="0" xfId="0">
      <alignment horizontal="center" vertical="center" indent="1"/>
    </xf>
    <xf numFmtId="0" fontId="5" fillId="3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left" vertical="center"/>
    </xf>
    <xf numFmtId="0" fontId="8" fillId="7" borderId="4" applyAlignment="1" pivotButton="0" quotePrefix="0" xfId="0">
      <alignment horizontal="left" vertical="center" indent="1"/>
    </xf>
    <xf numFmtId="0" fontId="9" fillId="8" borderId="3" applyAlignment="1" pivotButton="0" quotePrefix="0" xfId="0">
      <alignment horizontal="center" vertical="center"/>
    </xf>
    <xf numFmtId="164" fontId="7" fillId="6" borderId="3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165" fontId="7" fillId="6" borderId="3" applyAlignment="1" pivotButton="0" quotePrefix="0" xfId="0">
      <alignment horizontal="center" vertical="center"/>
    </xf>
    <xf numFmtId="166" fontId="9" fillId="6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center" vertical="center"/>
    </xf>
    <xf numFmtId="164" fontId="7" fillId="9" borderId="3" applyAlignment="1" pivotButton="0" quotePrefix="0" xfId="0">
      <alignment horizontal="center" vertical="center"/>
    </xf>
    <xf numFmtId="165" fontId="7" fillId="9" borderId="3" applyAlignment="1" pivotButton="0" quotePrefix="0" xfId="0">
      <alignment horizontal="center" vertical="center"/>
    </xf>
    <xf numFmtId="166" fontId="9" fillId="9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 indent="1"/>
    </xf>
    <xf numFmtId="0" fontId="10" fillId="9" borderId="3" applyAlignment="1" pivotButton="0" quotePrefix="0" xfId="0">
      <alignment horizontal="right" vertical="center" indent="1"/>
    </xf>
    <xf numFmtId="166" fontId="4" fillId="2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 indent="1"/>
    </xf>
    <xf numFmtId="166" fontId="12" fillId="2" borderId="5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0" fontId="14" fillId="11" borderId="3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4" fillId="2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 indent="1"/>
    </xf>
    <xf numFmtId="0" fontId="0" fillId="0" borderId="12" pivotButton="0" quotePrefix="0" xfId="0"/>
    <xf numFmtId="0" fontId="0" fillId="0" borderId="13" pivotButton="0" quotePrefix="0" xfId="0"/>
    <xf numFmtId="0" fontId="13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6" fillId="11" borderId="3" applyAlignment="1" pivotButton="0" quotePrefix="0" xfId="0">
      <alignment horizontal="left" vertical="center" indent="1"/>
    </xf>
    <xf numFmtId="167" fontId="17" fillId="7" borderId="4" applyAlignment="1" pivotButton="0" quotePrefix="0" xfId="0">
      <alignment horizontal="center" vertical="center"/>
    </xf>
    <xf numFmtId="0" fontId="16" fillId="9" borderId="3" applyAlignment="1" pivotButton="0" quotePrefix="0" xfId="0">
      <alignment horizontal="left" vertical="center" indent="1"/>
    </xf>
    <xf numFmtId="0" fontId="11" fillId="12" borderId="1" applyAlignment="1" pivotButton="0" quotePrefix="0" xfId="0">
      <alignment horizontal="left" vertical="center"/>
    </xf>
    <xf numFmtId="0" fontId="11" fillId="12" borderId="1" pivotButton="0" quotePrefix="0" xfId="0"/>
    <xf numFmtId="167" fontId="8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left" vertical="center" indent="1"/>
    </xf>
    <xf numFmtId="0" fontId="0" fillId="9" borderId="3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EC2 Type</t>
        </is>
      </c>
      <c r="B1" t="inlineStr">
        <is>
          <t>$/hr (On-Demand)</t>
        </is>
      </c>
      <c r="D1" t="inlineStr">
        <is>
          <t>EBS Type</t>
        </is>
      </c>
      <c r="E1" t="inlineStr">
        <is>
          <t>$/GB/mo</t>
        </is>
      </c>
      <c r="F1" t="inlineStr">
        <is>
          <t>$/IOPS/mo</t>
        </is>
      </c>
      <c r="H1" t="inlineStr">
        <is>
          <t>RDS Class</t>
        </is>
      </c>
      <c r="I1" t="inlineStr">
        <is>
          <t>$/hr Single</t>
        </is>
      </c>
      <c r="J1" t="inlineStr">
        <is>
          <t>$/hr Multi</t>
        </is>
      </c>
      <c r="L1" t="inlineStr">
        <is>
          <t>ELB Type</t>
        </is>
      </c>
      <c r="M1" t="inlineStr">
        <is>
          <t>$/hr base</t>
        </is>
      </c>
      <c r="N1" t="inlineStr">
        <is>
          <t>$/LCU-hr</t>
        </is>
      </c>
      <c r="P1" t="inlineStr">
        <is>
          <t>S3 Class</t>
        </is>
      </c>
      <c r="Q1" t="inlineStr">
        <is>
          <t>$/GB/mo</t>
        </is>
      </c>
      <c r="S1" s="39" t="inlineStr">
        <is>
          <t>ECS SKU</t>
        </is>
      </c>
      <c r="T1" s="39" t="inlineStr">
        <is>
          <t>$/unit/hr</t>
        </is>
      </c>
      <c r="V1" s="39" t="inlineStr">
        <is>
          <t>EKS SKU</t>
        </is>
      </c>
      <c r="W1" s="39" t="inlineStr">
        <is>
          <t>$/unit/hr</t>
        </is>
      </c>
      <c r="Y1" s="39" t="inlineStr">
        <is>
          <t>Data Transfer Type</t>
        </is>
      </c>
      <c r="Z1" s="39" t="inlineStr">
        <is>
          <t>$/GB or $/hr</t>
        </is>
      </c>
      <c r="AB1" s="39" t="inlineStr">
        <is>
          <t>EBS Pre-Sized SKU</t>
        </is>
      </c>
      <c r="AC1" s="39" t="inlineStr">
        <is>
          <t>$/hr</t>
        </is>
      </c>
    </row>
    <row r="2">
      <c r="A2" t="inlineStr">
        <is>
          <t>t2.micro</t>
        </is>
      </c>
      <c r="B2" t="n">
        <v>0.0116</v>
      </c>
      <c r="D2" t="inlineStr">
        <is>
          <t>gp3</t>
        </is>
      </c>
      <c r="E2" t="n">
        <v>0.096</v>
      </c>
      <c r="F2" t="n">
        <v>0</v>
      </c>
      <c r="H2" t="inlineStr">
        <is>
          <t>db.t3.micro</t>
        </is>
      </c>
      <c r="I2" t="n">
        <v>0.019</v>
      </c>
      <c r="J2" t="n">
        <v>0.038</v>
      </c>
      <c r="L2" t="inlineStr">
        <is>
          <t>Application LB (ALB)</t>
        </is>
      </c>
      <c r="M2" t="n">
        <v>0.0225</v>
      </c>
      <c r="N2" t="n">
        <v>0.008</v>
      </c>
      <c r="P2" t="inlineStr">
        <is>
          <t>Standard</t>
        </is>
      </c>
      <c r="Q2" t="n">
        <v>0.023</v>
      </c>
      <c r="S2" s="40" t="inlineStr">
        <is>
          <t>Fargate vCPU</t>
        </is>
      </c>
      <c r="T2" s="41" t="n">
        <v>0.04048</v>
      </c>
      <c r="V2" s="40" t="inlineStr">
        <is>
          <t>EKS Cluster</t>
        </is>
      </c>
      <c r="W2" s="41" t="n">
        <v>0.1</v>
      </c>
      <c r="Y2" s="40" t="inlineStr">
        <is>
          <t>Inbound Internet to AWS</t>
        </is>
      </c>
      <c r="Z2" s="41" t="n">
        <v>0</v>
      </c>
      <c r="AB2" s="40" t="inlineStr">
        <is>
          <t>gp3 - 50GB</t>
        </is>
      </c>
      <c r="AC2" s="41" t="n">
        <v>0.006575</v>
      </c>
    </row>
    <row r="3">
      <c r="A3" t="inlineStr">
        <is>
          <t>t2.small</t>
        </is>
      </c>
      <c r="B3" t="n">
        <v>0.023</v>
      </c>
      <c r="D3" t="inlineStr">
        <is>
          <t>gp2</t>
        </is>
      </c>
      <c r="E3" t="n">
        <v>0.11</v>
      </c>
      <c r="F3" t="n">
        <v>0</v>
      </c>
      <c r="H3" t="inlineStr">
        <is>
          <t>db.t3.small</t>
        </is>
      </c>
      <c r="I3" t="n">
        <v>0.034</v>
      </c>
      <c r="J3" t="n">
        <v>0.068</v>
      </c>
      <c r="L3" t="inlineStr">
        <is>
          <t>Network LB (NLB)</t>
        </is>
      </c>
      <c r="M3" t="n">
        <v>0.0225</v>
      </c>
      <c r="N3" t="n">
        <v>0.006</v>
      </c>
      <c r="P3" t="inlineStr">
        <is>
          <t>Intelligent-Tiering</t>
        </is>
      </c>
      <c r="Q3" t="n">
        <v>0.023</v>
      </c>
      <c r="S3" s="42" t="inlineStr">
        <is>
          <t>Fargate Memory (GB)</t>
        </is>
      </c>
      <c r="T3" s="41" t="n">
        <v>0.004445</v>
      </c>
      <c r="V3" s="42" t="inlineStr">
        <is>
          <t>EKS Fargate vCPU</t>
        </is>
      </c>
      <c r="W3" s="41" t="n">
        <v>0.04048</v>
      </c>
      <c r="Y3" s="42" t="inlineStr">
        <is>
          <t>Outbound AWS to Internet /GB</t>
        </is>
      </c>
      <c r="Z3" s="41" t="n">
        <v>0.09</v>
      </c>
      <c r="AB3" s="42" t="inlineStr">
        <is>
          <t>gp3 - 100GB</t>
        </is>
      </c>
      <c r="AC3" s="41" t="n">
        <v>0.013151</v>
      </c>
    </row>
    <row r="4">
      <c r="A4" t="inlineStr">
        <is>
          <t>t2.medium</t>
        </is>
      </c>
      <c r="B4" t="n">
        <v>0.0464</v>
      </c>
      <c r="D4" t="inlineStr">
        <is>
          <t>io2</t>
        </is>
      </c>
      <c r="E4" t="n">
        <v>0.138</v>
      </c>
      <c r="F4" t="n">
        <v>0.065</v>
      </c>
      <c r="H4" t="inlineStr">
        <is>
          <t>db.t3.medium</t>
        </is>
      </c>
      <c r="I4" t="n">
        <v>0.068</v>
      </c>
      <c r="J4" t="n">
        <v>0.136</v>
      </c>
      <c r="L4" t="inlineStr">
        <is>
          <t>Classic LB (CLB)</t>
        </is>
      </c>
      <c r="M4" t="n">
        <v>0.025</v>
      </c>
      <c r="N4" t="n">
        <v>0.008</v>
      </c>
      <c r="P4" t="inlineStr">
        <is>
          <t>Standard-IA</t>
        </is>
      </c>
      <c r="Q4" t="n">
        <v>0.0125</v>
      </c>
      <c r="S4" s="40" t="inlineStr">
        <is>
          <t>Fargate Windows vCPU</t>
        </is>
      </c>
      <c r="T4" s="41" t="n">
        <v>0.09148000000000001</v>
      </c>
      <c r="V4" s="40" t="inlineStr">
        <is>
          <t>EKS Fargate Mem(GB)</t>
        </is>
      </c>
      <c r="W4" s="41" t="n">
        <v>0.004445</v>
      </c>
      <c r="Y4" s="40" t="inlineStr">
        <is>
          <t>Outbound 10-50TB tier /GB</t>
        </is>
      </c>
      <c r="Z4" s="41" t="n">
        <v>0.08500000000000001</v>
      </c>
      <c r="AB4" s="40" t="inlineStr">
        <is>
          <t>gp3 - 200GB</t>
        </is>
      </c>
      <c r="AC4" s="41" t="n">
        <v>0.026301</v>
      </c>
    </row>
    <row r="5">
      <c r="A5" t="inlineStr">
        <is>
          <t>t2.large</t>
        </is>
      </c>
      <c r="B5" t="n">
        <v>0.09279999999999999</v>
      </c>
      <c r="D5" t="inlineStr">
        <is>
          <t>io1</t>
        </is>
      </c>
      <c r="E5" t="n">
        <v>0.138</v>
      </c>
      <c r="F5" t="n">
        <v>0.065</v>
      </c>
      <c r="H5" t="inlineStr">
        <is>
          <t>db.t3.large</t>
        </is>
      </c>
      <c r="I5" t="n">
        <v>0.136</v>
      </c>
      <c r="J5" t="n">
        <v>0.272</v>
      </c>
      <c r="L5" t="inlineStr">
        <is>
          <t>Gateway LB (GWLB)</t>
        </is>
      </c>
      <c r="M5" t="n">
        <v>0.01</v>
      </c>
      <c r="N5" t="n">
        <v>0.0035</v>
      </c>
      <c r="P5" t="inlineStr">
        <is>
          <t>One Zone-IA</t>
        </is>
      </c>
      <c r="Q5" t="n">
        <v>0.01</v>
      </c>
      <c r="S5" s="42" t="inlineStr">
        <is>
          <t>Fargate Windows Mem(GB)</t>
        </is>
      </c>
      <c r="T5" s="41" t="n">
        <v>0.01005</v>
      </c>
      <c r="Y5" s="42" t="inlineStr">
        <is>
          <t>Cross-Region outbound /GB</t>
        </is>
      </c>
      <c r="Z5" s="41" t="n">
        <v>0.02</v>
      </c>
      <c r="AB5" s="42" t="inlineStr">
        <is>
          <t>gp3 - 500GB</t>
        </is>
      </c>
      <c r="AC5" s="41" t="n">
        <v>0.06575300000000001</v>
      </c>
    </row>
    <row r="6">
      <c r="A6" t="inlineStr">
        <is>
          <t>t3.micro</t>
        </is>
      </c>
      <c r="B6" t="n">
        <v>0.0104</v>
      </c>
      <c r="D6" t="inlineStr">
        <is>
          <t>st1</t>
        </is>
      </c>
      <c r="E6" t="n">
        <v>0.051</v>
      </c>
      <c r="F6" t="n">
        <v>0</v>
      </c>
      <c r="H6" t="inlineStr">
        <is>
          <t>db.m5.large</t>
        </is>
      </c>
      <c r="I6" t="n">
        <v>0.24</v>
      </c>
      <c r="J6" t="n">
        <v>0.48</v>
      </c>
      <c r="P6" t="inlineStr">
        <is>
          <t>Glacier Instant</t>
        </is>
      </c>
      <c r="Q6" t="n">
        <v>0.004</v>
      </c>
      <c r="Y6" s="40" t="inlineStr">
        <is>
          <t>Intra-Region AZ-to-AZ /GB</t>
        </is>
      </c>
      <c r="Z6" s="41" t="n">
        <v>0.01</v>
      </c>
      <c r="AB6" s="40" t="inlineStr">
        <is>
          <t>gp3 - 1TB</t>
        </is>
      </c>
      <c r="AC6" s="41" t="n">
        <v>0.131507</v>
      </c>
    </row>
    <row r="7">
      <c r="A7" t="inlineStr">
        <is>
          <t>t3.small</t>
        </is>
      </c>
      <c r="B7" t="n">
        <v>0.0208</v>
      </c>
      <c r="D7" t="inlineStr">
        <is>
          <t>sc1</t>
        </is>
      </c>
      <c r="E7" t="n">
        <v>0.015</v>
      </c>
      <c r="F7" t="n">
        <v>0</v>
      </c>
      <c r="H7" t="inlineStr">
        <is>
          <t>db.m5.xlarge</t>
        </is>
      </c>
      <c r="I7" t="n">
        <v>0.48</v>
      </c>
      <c r="J7" t="n">
        <v>0.96</v>
      </c>
      <c r="P7" t="inlineStr">
        <is>
          <t>Glacier Flexible</t>
        </is>
      </c>
      <c r="Q7" t="n">
        <v>0.0036</v>
      </c>
      <c r="Y7" s="42" t="inlineStr">
        <is>
          <t>AWS to CloudFront /GB</t>
        </is>
      </c>
      <c r="Z7" s="41" t="n">
        <v>0.008500000000000001</v>
      </c>
      <c r="AB7" s="42" t="inlineStr">
        <is>
          <t>gp2 - 50GB</t>
        </is>
      </c>
      <c r="AC7" s="41" t="n">
        <v>0.007534</v>
      </c>
    </row>
    <row r="8">
      <c r="A8" t="inlineStr">
        <is>
          <t>t3.medium</t>
        </is>
      </c>
      <c r="B8" t="n">
        <v>0.0416</v>
      </c>
      <c r="H8" t="inlineStr">
        <is>
          <t>db.m5.2xlarge</t>
        </is>
      </c>
      <c r="I8" t="n">
        <v>0.96</v>
      </c>
      <c r="J8" t="n">
        <v>1.92</v>
      </c>
      <c r="P8" t="inlineStr">
        <is>
          <t>Glacier Deep Archive</t>
        </is>
      </c>
      <c r="Q8" t="n">
        <v>0.00099</v>
      </c>
      <c r="Y8" s="40" t="inlineStr">
        <is>
          <t>VPC Peering same region /GB</t>
        </is>
      </c>
      <c r="Z8" s="41" t="n">
        <v>0.01</v>
      </c>
      <c r="AB8" s="40" t="inlineStr">
        <is>
          <t>gp2 - 100GB</t>
        </is>
      </c>
      <c r="AC8" s="41" t="n">
        <v>0.015068</v>
      </c>
    </row>
    <row r="9">
      <c r="A9" t="inlineStr">
        <is>
          <t>t3.large</t>
        </is>
      </c>
      <c r="B9" t="n">
        <v>0.0832</v>
      </c>
      <c r="H9" t="inlineStr">
        <is>
          <t>db.r5.large</t>
        </is>
      </c>
      <c r="I9" t="n">
        <v>0.34</v>
      </c>
      <c r="J9" t="n">
        <v>0.68</v>
      </c>
      <c r="Y9" s="42" t="inlineStr">
        <is>
          <t>NAT Gateway /GB</t>
        </is>
      </c>
      <c r="Z9" s="41" t="n">
        <v>0.045</v>
      </c>
      <c r="AB9" s="42" t="inlineStr">
        <is>
          <t>gp2 - 200GB</t>
        </is>
      </c>
      <c r="AC9" s="41" t="n">
        <v>0.030137</v>
      </c>
    </row>
    <row r="10">
      <c r="A10" t="inlineStr">
        <is>
          <t>t3.xlarge</t>
        </is>
      </c>
      <c r="B10" t="n">
        <v>0.1664</v>
      </c>
      <c r="H10" t="inlineStr">
        <is>
          <t>db.r5.xlarge</t>
        </is>
      </c>
      <c r="I10" t="n">
        <v>0.68</v>
      </c>
      <c r="J10" t="n">
        <v>1.36</v>
      </c>
      <c r="Y10" s="40" t="inlineStr">
        <is>
          <t>NAT Gateway /hr</t>
        </is>
      </c>
      <c r="Z10" s="41" t="n">
        <v>0.045</v>
      </c>
      <c r="AB10" s="40" t="inlineStr">
        <is>
          <t>io2 - 100GB</t>
        </is>
      </c>
      <c r="AC10" s="41" t="n">
        <v>0.018904</v>
      </c>
    </row>
    <row r="11">
      <c r="A11" t="inlineStr">
        <is>
          <t>t3.2xlarge</t>
        </is>
      </c>
      <c r="B11" t="n">
        <v>0.3328</v>
      </c>
      <c r="H11" t="inlineStr">
        <is>
          <t>db.r5.2xlarge</t>
        </is>
      </c>
      <c r="I11" t="n">
        <v>1.36</v>
      </c>
      <c r="J11" t="n">
        <v>2.72</v>
      </c>
      <c r="AB11" s="42" t="inlineStr">
        <is>
          <t>io2 - 500GB</t>
        </is>
      </c>
      <c r="AC11" s="41" t="n">
        <v>0.09452099999999999</v>
      </c>
    </row>
    <row r="12">
      <c r="A12" t="inlineStr">
        <is>
          <t>t3a.small</t>
        </is>
      </c>
      <c r="B12" t="n">
        <v>0.0188</v>
      </c>
      <c r="AB12" s="40" t="inlineStr">
        <is>
          <t>io2 - 1TB</t>
        </is>
      </c>
      <c r="AC12" s="41" t="n">
        <v>0.189041</v>
      </c>
    </row>
    <row r="13">
      <c r="A13" t="inlineStr">
        <is>
          <t>t3a.medium</t>
        </is>
      </c>
      <c r="B13" t="n">
        <v>0.0376</v>
      </c>
      <c r="AB13" s="42" t="inlineStr">
        <is>
          <t>st1 - 500GB</t>
        </is>
      </c>
      <c r="AC13" s="41" t="n">
        <v>0.034932</v>
      </c>
    </row>
    <row r="14">
      <c r="A14" t="inlineStr">
        <is>
          <t>t3a.large</t>
        </is>
      </c>
      <c r="B14" t="n">
        <v>0.0752</v>
      </c>
      <c r="AB14" s="40" t="inlineStr">
        <is>
          <t>st1 - 1TB</t>
        </is>
      </c>
      <c r="AC14" s="41" t="n">
        <v>0.06986299999999999</v>
      </c>
    </row>
    <row r="15">
      <c r="A15" t="inlineStr">
        <is>
          <t>m5.large</t>
        </is>
      </c>
      <c r="B15" t="n">
        <v>0.107</v>
      </c>
      <c r="AB15" s="42" t="inlineStr">
        <is>
          <t>sc1 - 500GB</t>
        </is>
      </c>
      <c r="AC15" s="41" t="n">
        <v>0.010274</v>
      </c>
    </row>
    <row r="16">
      <c r="A16" t="inlineStr">
        <is>
          <t>m5.xlarge</t>
        </is>
      </c>
      <c r="B16" t="n">
        <v>0.214</v>
      </c>
      <c r="AB16" s="40" t="inlineStr">
        <is>
          <t>sc1 - 1TB</t>
        </is>
      </c>
      <c r="AC16" s="41" t="n">
        <v>0.020548</v>
      </c>
    </row>
    <row r="17">
      <c r="A17" t="inlineStr">
        <is>
          <t>m5.2xlarge</t>
        </is>
      </c>
      <c r="B17" t="n">
        <v>0.428</v>
      </c>
    </row>
    <row r="18">
      <c r="A18" t="inlineStr">
        <is>
          <t>m5.4xlarge</t>
        </is>
      </c>
      <c r="B18" t="n">
        <v>0.856</v>
      </c>
    </row>
    <row r="19">
      <c r="A19" t="inlineStr">
        <is>
          <t>m5a.large</t>
        </is>
      </c>
      <c r="B19" t="n">
        <v>0.096</v>
      </c>
    </row>
    <row r="20">
      <c r="A20" t="inlineStr">
        <is>
          <t>m5a.xlarge</t>
        </is>
      </c>
      <c r="B20" t="n">
        <v>0.192</v>
      </c>
    </row>
    <row r="21">
      <c r="A21" t="inlineStr">
        <is>
          <t>c5.large</t>
        </is>
      </c>
      <c r="B21" t="n">
        <v>0.096</v>
      </c>
    </row>
    <row r="22">
      <c r="A22" t="inlineStr">
        <is>
          <t>c5.xlarge</t>
        </is>
      </c>
      <c r="B22" t="n">
        <v>0.192</v>
      </c>
    </row>
    <row r="23">
      <c r="A23" t="inlineStr">
        <is>
          <t>c5.2xlarge</t>
        </is>
      </c>
      <c r="B23" t="n">
        <v>0.384</v>
      </c>
    </row>
    <row r="24">
      <c r="A24" t="inlineStr">
        <is>
          <t>c5.4xlarge</t>
        </is>
      </c>
      <c r="B24" t="n">
        <v>0.768</v>
      </c>
    </row>
    <row r="25">
      <c r="A25" t="inlineStr">
        <is>
          <t>c6in.xlarge</t>
        </is>
      </c>
      <c r="B25" t="n">
        <v>0.2268</v>
      </c>
    </row>
    <row r="26">
      <c r="A26" t="inlineStr">
        <is>
          <t>c6in.2xlarge</t>
        </is>
      </c>
      <c r="B26" t="n">
        <v>0.4536</v>
      </c>
    </row>
    <row r="27">
      <c r="A27" t="inlineStr">
        <is>
          <t>r5.large</t>
        </is>
      </c>
      <c r="B27" t="n">
        <v>0.142</v>
      </c>
    </row>
    <row r="28">
      <c r="A28" t="inlineStr">
        <is>
          <t>r5.xlarge</t>
        </is>
      </c>
      <c r="B28" t="n">
        <v>0.284</v>
      </c>
    </row>
    <row r="29">
      <c r="A29" t="inlineStr">
        <is>
          <t>r5.2xlarge</t>
        </is>
      </c>
      <c r="B29" t="n">
        <v>0.5679999999999999</v>
      </c>
    </row>
    <row r="30">
      <c r="A30" t="inlineStr">
        <is>
          <t>r5.4xlarge</t>
        </is>
      </c>
      <c r="B30" t="n">
        <v>1.136</v>
      </c>
    </row>
    <row r="31">
      <c r="A31" t="inlineStr">
        <is>
          <t>r6g.large</t>
        </is>
      </c>
      <c r="B31" t="n">
        <v>0.121</v>
      </c>
    </row>
    <row r="32">
      <c r="A32" t="inlineStr">
        <is>
          <t>r6g.xlarge</t>
        </is>
      </c>
      <c r="B32" t="n">
        <v>0.242</v>
      </c>
    </row>
    <row r="33">
      <c r="A33" t="inlineStr">
        <is>
          <t>g4dn.xlarge</t>
        </is>
      </c>
      <c r="B33" t="n">
        <v>0.726</v>
      </c>
    </row>
    <row r="34">
      <c r="A34" t="inlineStr">
        <is>
          <t>g4dn.2xlarge</t>
        </is>
      </c>
      <c r="B34" t="n">
        <v>1.452</v>
      </c>
    </row>
    <row r="35">
      <c r="A35" t="inlineStr">
        <is>
          <t>p3.2xlarge</t>
        </is>
      </c>
      <c r="B35" t="n">
        <v>3.824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14" customWidth="1" min="4" max="4"/>
    <col width="16" customWidth="1" min="5" max="5"/>
    <col width="9" customWidth="1" min="6" max="6"/>
    <col width="18" customWidth="1" min="7" max="7"/>
    <col width="14" customWidth="1" min="8" max="8"/>
    <col width="14" customWidth="1" min="9" max="9"/>
  </cols>
  <sheetData>
    <row r="1" ht="38" customHeight="1">
      <c r="A1" s="30" t="inlineStr">
        <is>
          <t>CloudLabs Cost Calculator (AWS)</t>
        </is>
      </c>
      <c r="B1" s="31" t="n"/>
      <c r="C1" s="31" t="n"/>
      <c r="D1" s="31" t="n"/>
      <c r="E1" s="31" t="n"/>
      <c r="F1" s="31" t="n"/>
      <c r="G1" s="31" t="n"/>
      <c r="H1" s="32" t="n"/>
      <c r="I1" s="33" t="n"/>
    </row>
    <row r="2" ht="26" customHeight="1">
      <c r="A2" s="2" t="inlineStr">
        <is>
          <t>Please enter lab duration (In Hours)</t>
        </is>
      </c>
      <c r="B2" s="31" t="n"/>
      <c r="C2" s="31" t="n"/>
      <c r="D2" s="32" t="n"/>
      <c r="E2" s="3" t="n">
        <v>4</v>
      </c>
      <c r="F2" s="4" t="n"/>
      <c r="G2" s="4" t="n"/>
      <c r="H2" s="4" t="n"/>
      <c r="I2" s="33" t="n"/>
    </row>
    <row r="3" ht="26" customHeight="1">
      <c r="A3" s="2" t="inlineStr">
        <is>
          <t>Please enter cluster uptime (In Hours)</t>
        </is>
      </c>
      <c r="B3" s="31" t="n"/>
      <c r="C3" s="31" t="n"/>
      <c r="D3" s="32" t="n"/>
      <c r="E3" s="3" t="n">
        <v>4</v>
      </c>
      <c r="F3" s="4" t="n"/>
      <c r="G3" s="4" t="n"/>
      <c r="H3" s="4" t="n"/>
      <c r="I3" s="33" t="n"/>
    </row>
    <row r="4" ht="26" customHeight="1">
      <c r="A4" s="2" t="inlineStr">
        <is>
          <t>Total Number of Users</t>
        </is>
      </c>
      <c r="B4" s="31" t="n"/>
      <c r="C4" s="31" t="n"/>
      <c r="D4" s="32" t="n"/>
      <c r="E4" s="3" t="n">
        <v>200</v>
      </c>
      <c r="F4" s="4" t="n"/>
      <c r="G4" s="4" t="n"/>
      <c r="H4" s="4" t="n"/>
      <c r="I4" s="33" t="n"/>
    </row>
    <row r="5" ht="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33" t="n"/>
    </row>
    <row r="6" ht="28" customHeight="1">
      <c r="A6" s="34" t="inlineStr">
        <is>
          <t>COST ESTIMATE</t>
        </is>
      </c>
      <c r="B6" s="31" t="n"/>
      <c r="C6" s="31" t="n"/>
      <c r="D6" s="31" t="n"/>
      <c r="E6" s="31" t="n"/>
      <c r="F6" s="31" t="n"/>
      <c r="G6" s="31" t="n"/>
      <c r="H6" s="32" t="n"/>
      <c r="I6" s="33" t="n"/>
    </row>
    <row r="7" ht="20" customHeight="1">
      <c r="A7" s="35" t="inlineStr">
        <is>
          <t xml:space="preserve">  Total Cost = $/hr × Count × Hours  |  Pause=1→Uptime hrs(E3)  |  Pause=0→Lab Duration hrs(E2)  |  Grand Total = Uptime costs + Lab Duration costs</t>
        </is>
      </c>
      <c r="B7" s="31" t="n"/>
      <c r="C7" s="31" t="n"/>
      <c r="D7" s="31" t="n"/>
      <c r="E7" s="31" t="n"/>
      <c r="F7" s="31" t="n"/>
      <c r="G7" s="31" t="n"/>
      <c r="H7" s="32" t="n"/>
    </row>
    <row r="8" ht="44" customHeight="1">
      <c r="A8" s="8" t="inlineStr">
        <is>
          <t>Track
Name</t>
        </is>
      </c>
      <c r="B8" s="8" t="inlineStr">
        <is>
          <t>Dedicated Resources
Deployed</t>
        </is>
      </c>
      <c r="C8" s="8" t="inlineStr">
        <is>
          <t>Type and Size
(dropdown → $/hr auto-fills)</t>
        </is>
      </c>
      <c r="D8" s="8" t="inlineStr">
        <is>
          <t>Can Pause?
1=Yes  0=No</t>
        </is>
      </c>
      <c r="E8" s="8" t="inlineStr">
        <is>
          <t>$/hr
(AWS rate)</t>
        </is>
      </c>
      <c r="F8" s="8" t="inlineStr">
        <is>
          <t>Count</t>
        </is>
      </c>
      <c r="G8" s="8" t="inlineStr">
        <is>
          <t>Total Cost
$/hr × Count × Hrs</t>
        </is>
      </c>
      <c r="H8" s="8" t="inlineStr">
        <is>
          <t>Region</t>
        </is>
      </c>
      <c r="I8" s="33" t="n"/>
    </row>
    <row r="9" ht="6" customHeight="1">
      <c r="A9" s="5" t="n"/>
      <c r="B9" s="5" t="n"/>
      <c r="C9" s="5" t="n"/>
      <c r="D9" s="5" t="n"/>
      <c r="E9" s="5" t="n"/>
      <c r="F9" s="5" t="n"/>
      <c r="G9" s="5" t="n"/>
      <c r="H9" s="5" t="n"/>
      <c r="I9" s="33" t="n"/>
    </row>
    <row r="10" ht="22" customHeight="1">
      <c r="A10" s="9" t="inlineStr">
        <is>
          <t>Lab Track</t>
        </is>
      </c>
      <c r="B10" s="9" t="inlineStr">
        <is>
          <t>EC2 Instance Cost</t>
        </is>
      </c>
      <c r="C10" s="10" t="inlineStr">
        <is>
          <t>c6in.xlarge</t>
        </is>
      </c>
      <c r="D10" s="11" t="n">
        <v>1</v>
      </c>
      <c r="E10" s="12">
        <f>IFERROR(VLOOKUP(C10,PRICES!$A:$B,2,0),0)</f>
        <v/>
      </c>
      <c r="F10" s="13" t="n">
        <v>3</v>
      </c>
      <c r="G10" s="15">
        <f>IF(OR(C10="",F10=0),0,IF(D10=1,E10*F10*$E$3,E10*F10*$E$2))</f>
        <v/>
      </c>
      <c r="H10" s="16" t="inlineStr">
        <is>
          <t>us-east-1</t>
        </is>
      </c>
      <c r="I10" s="33" t="n"/>
    </row>
    <row r="11" ht="22" customHeight="1">
      <c r="A11" s="17" t="inlineStr">
        <is>
          <t>Lab Track</t>
        </is>
      </c>
      <c r="B11" s="17" t="inlineStr">
        <is>
          <t>Boot Disk Cost</t>
        </is>
      </c>
      <c r="C11" s="10" t="inlineStr">
        <is>
          <t>gp2</t>
        </is>
      </c>
      <c r="D11" s="18" t="n">
        <v>0</v>
      </c>
      <c r="E11" s="19">
        <f>IFERROR(60*VLOOKUP(C11,PRICES!$D:$E,2,0)/730,0)</f>
        <v/>
      </c>
      <c r="F11" s="13" t="n">
        <v>5</v>
      </c>
      <c r="G11" s="21">
        <f>IF(OR(C11="",F11=0),0,IF(D11=1,E11*F11*$E$3,E11*F11*$E$2))</f>
        <v/>
      </c>
      <c r="H11" s="22" t="inlineStr">
        <is>
          <t>us-east-1</t>
        </is>
      </c>
      <c r="I11" s="33" t="n"/>
    </row>
    <row r="12" ht="22" customHeight="1">
      <c r="A12" s="9" t="inlineStr">
        <is>
          <t>Lab Track</t>
        </is>
      </c>
      <c r="B12" s="9" t="inlineStr">
        <is>
          <t>EC2 Instance Cost</t>
        </is>
      </c>
      <c r="C12" s="10" t="inlineStr">
        <is>
          <t>m5.xlarge</t>
        </is>
      </c>
      <c r="D12" s="11" t="n">
        <v>1</v>
      </c>
      <c r="E12" s="12">
        <f>IFERROR(VLOOKUP(C12,PRICES!$A:$B,2,0),0)</f>
        <v/>
      </c>
      <c r="F12" s="13" t="n">
        <v>1</v>
      </c>
      <c r="G12" s="15">
        <f>IF(OR(C12="",F12=0),0,IF(D12=1,E12*F12*$E$3,E12*F12*$E$2))</f>
        <v/>
      </c>
      <c r="H12" s="16" t="inlineStr">
        <is>
          <t>us-east-1</t>
        </is>
      </c>
      <c r="I12" s="33" t="n"/>
    </row>
    <row r="13" ht="22" customHeight="1">
      <c r="A13" s="17" t="inlineStr">
        <is>
          <t>Lab Track</t>
        </is>
      </c>
      <c r="B13" s="17" t="inlineStr">
        <is>
          <t>EC2 Instance Cost</t>
        </is>
      </c>
      <c r="C13" s="10" t="inlineStr">
        <is>
          <t>t3a.small</t>
        </is>
      </c>
      <c r="D13" s="11" t="n">
        <v>1</v>
      </c>
      <c r="E13" s="19">
        <f>IFERROR(VLOOKUP(C13,PRICES!$A:$B,2,0),0)</f>
        <v/>
      </c>
      <c r="F13" s="13" t="n">
        <v>1</v>
      </c>
      <c r="G13" s="21">
        <f>IF(OR(C13="",F13=0),0,IF(D13=1,E13*F13*$E$3,E13*F13*$E$2))</f>
        <v/>
      </c>
      <c r="H13" s="22" t="inlineStr">
        <is>
          <t>us-east-1</t>
        </is>
      </c>
      <c r="I13" s="33" t="n"/>
    </row>
    <row r="14" ht="22" customHeight="1">
      <c r="A14" s="9" t="inlineStr">
        <is>
          <t>Lab Track</t>
        </is>
      </c>
      <c r="B14" s="9" t="inlineStr">
        <is>
          <t>Public IP</t>
        </is>
      </c>
      <c r="C14" s="10" t="inlineStr">
        <is>
          <t>Dynamic IP</t>
        </is>
      </c>
      <c r="D14" s="18" t="n">
        <v>0</v>
      </c>
      <c r="E14" s="12">
        <f>0.005</f>
        <v/>
      </c>
      <c r="F14" s="13" t="n">
        <v>5</v>
      </c>
      <c r="G14" s="15">
        <f>IF(OR(C14="",F14=0),0,IF(D14=1,E14*F14*$E$3,E14*F14*$E$2))</f>
        <v/>
      </c>
      <c r="H14" s="16" t="inlineStr">
        <is>
          <t>us-east-1</t>
        </is>
      </c>
      <c r="I14" s="33" t="n"/>
    </row>
    <row r="15" ht="22" customHeight="1">
      <c r="A15" s="17" t="inlineStr">
        <is>
          <t>Lab Track</t>
        </is>
      </c>
      <c r="B15" s="17" t="inlineStr">
        <is>
          <t>Gateway Load Balancer</t>
        </is>
      </c>
      <c r="C15" s="10" t="inlineStr">
        <is>
          <t>Application LB (ALB)</t>
        </is>
      </c>
      <c r="D15" s="18" t="n">
        <v>0</v>
      </c>
      <c r="E15" s="19">
        <f>IFERROR(VLOOKUP(C15,PRICES!$L:$M,2,0)+2*VLOOKUP(C15,PRICES!$L:$N,3,0),0)</f>
        <v/>
      </c>
      <c r="F15" s="13" t="n">
        <v>1</v>
      </c>
      <c r="G15" s="21">
        <f>IF(OR(C15="",F15=0),0,IF(D15=1,E15*F15*$E$3,E15*F15*$E$2))</f>
        <v/>
      </c>
      <c r="H15" s="22" t="inlineStr">
        <is>
          <t>us-east-1</t>
        </is>
      </c>
      <c r="I15" s="33" t="n"/>
    </row>
    <row r="16" ht="22" customHeight="1">
      <c r="A16" s="9" t="inlineStr">
        <is>
          <t>Lab Track</t>
        </is>
      </c>
      <c r="B16" s="9" t="inlineStr">
        <is>
          <t>RDS Database</t>
        </is>
      </c>
      <c r="C16" s="10" t="inlineStr">
        <is>
          <t>db.t3.medium</t>
        </is>
      </c>
      <c r="D16" s="11" t="n">
        <v>1</v>
      </c>
      <c r="E16" s="12">
        <f>IFERROR(VLOOKUP(C16,PRICES!$H:$I,2,0),0)</f>
        <v/>
      </c>
      <c r="F16" s="13" t="n">
        <v>1</v>
      </c>
      <c r="G16" s="15">
        <f>IF(OR(C16="",F16=0),0,IF(D16=1,E16*F16*$E$3,E16*F16*$E$2))</f>
        <v/>
      </c>
      <c r="H16" s="16" t="inlineStr">
        <is>
          <t>us-east-1</t>
        </is>
      </c>
      <c r="I16" s="33" t="n"/>
    </row>
    <row r="17" ht="22" customHeight="1">
      <c r="A17" s="17" t="inlineStr">
        <is>
          <t>Lab Track</t>
        </is>
      </c>
      <c r="B17" s="17" t="inlineStr">
        <is>
          <t>S3 Storage (100GB)</t>
        </is>
      </c>
      <c r="C17" s="10" t="inlineStr">
        <is>
          <t>Standard</t>
        </is>
      </c>
      <c r="D17" s="18" t="n">
        <v>0</v>
      </c>
      <c r="E17" s="19">
        <f>IFERROR(100*VLOOKUP(C17,PRICES!$P:$Q,2,0)/730,0)</f>
        <v/>
      </c>
      <c r="F17" s="13" t="n">
        <v>1</v>
      </c>
      <c r="G17" s="21">
        <f>IF(OR(C17="",F17=0),0,IF(D17=1,E17*F17*$E$3,E17*F17*$E$2))</f>
        <v/>
      </c>
      <c r="H17" s="22" t="inlineStr">
        <is>
          <t>us-east-1</t>
        </is>
      </c>
      <c r="I17" s="33" t="n"/>
    </row>
    <row r="18" ht="20" customHeight="1">
      <c r="A18" s="43" t="inlineStr">
        <is>
          <t xml:space="preserve">  💾  EBS — Additional Volumes (select pre-sized SKU)</t>
        </is>
      </c>
      <c r="B18" s="44" t="n"/>
      <c r="C18" s="44" t="n"/>
      <c r="D18" s="44" t="n"/>
      <c r="E18" s="44" t="n"/>
      <c r="F18" s="44" t="n"/>
      <c r="G18" s="44" t="n"/>
      <c r="H18" s="44" t="n"/>
    </row>
    <row r="19" ht="22" customHeight="1">
      <c r="A19" s="17" t="inlineStr">
        <is>
          <t>Lab Track</t>
        </is>
      </c>
      <c r="B19" s="17" t="inlineStr">
        <is>
          <t>Extra EBS Volume</t>
        </is>
      </c>
      <c r="C19" s="10" t="inlineStr">
        <is>
          <t>gp3 - 100GB</t>
        </is>
      </c>
      <c r="D19" s="18" t="n">
        <v>0</v>
      </c>
      <c r="E19" s="45">
        <f>IFERROR(VLOOKUP(C19,PRICES!$AB:$AC,2,0),0)</f>
        <v/>
      </c>
      <c r="F19" s="13" t="n">
        <v>1</v>
      </c>
      <c r="G19" s="21">
        <f>IF(OR(C19="",F19=0),0,IF(D19=1,E19*F19*$E$3,E19*F19*$E$2))</f>
        <v/>
      </c>
      <c r="H19" s="22" t="inlineStr">
        <is>
          <t>us-east-1</t>
        </is>
      </c>
    </row>
    <row r="20" ht="22" customHeight="1">
      <c r="A20" s="9" t="inlineStr">
        <is>
          <t>Lab Track</t>
        </is>
      </c>
      <c r="B20" s="9" t="inlineStr">
        <is>
          <t>Extra EBS Volume</t>
        </is>
      </c>
      <c r="C20" s="10" t="inlineStr">
        <is>
          <t>gp3 - 200GB</t>
        </is>
      </c>
      <c r="D20" s="18" t="n">
        <v>0</v>
      </c>
      <c r="E20" s="45">
        <f>IFERROR(VLOOKUP(C20,PRICES!$AB:$AC,2,0),0)</f>
        <v/>
      </c>
      <c r="F20" s="13" t="n">
        <v>1</v>
      </c>
      <c r="G20" s="15">
        <f>IF(OR(C20="",F20=0),0,IF(D20=1,E20*F20*$E$3,E20*F20*$E$2))</f>
        <v/>
      </c>
      <c r="H20" s="16" t="inlineStr">
        <is>
          <t>us-east-1</t>
        </is>
      </c>
    </row>
    <row r="21" ht="22" customHeight="1">
      <c r="A21" s="17" t="inlineStr">
        <is>
          <t>Lab Track</t>
        </is>
      </c>
      <c r="B21" s="17" t="inlineStr">
        <is>
          <t>Extra EBS Volume</t>
        </is>
      </c>
      <c r="C21" s="10" t="inlineStr">
        <is>
          <t>io2 - 100GB</t>
        </is>
      </c>
      <c r="D21" s="18" t="n">
        <v>0</v>
      </c>
      <c r="E21" s="45">
        <f>IFERROR(VLOOKUP(C21,PRICES!$AB:$AC,2,0),0)</f>
        <v/>
      </c>
      <c r="F21" s="13" t="n">
        <v>1</v>
      </c>
      <c r="G21" s="21">
        <f>IF(OR(C21="",F21=0),0,IF(D21=1,E21*F21*$E$3,E21*F21*$E$2))</f>
        <v/>
      </c>
      <c r="H21" s="22" t="inlineStr">
        <is>
          <t>us-east-1</t>
        </is>
      </c>
    </row>
    <row r="22" ht="22" customHeight="1">
      <c r="A22" s="9" t="inlineStr"/>
      <c r="B22" s="9" t="inlineStr"/>
      <c r="C22" s="46" t="inlineStr"/>
      <c r="D22" s="18" t="n">
        <v>0</v>
      </c>
      <c r="E22" s="45">
        <f>IFERROR(VLOOKUP(C22,PRICES!$AB:$AC,2,0),0)</f>
        <v/>
      </c>
      <c r="F22" s="13" t="n">
        <v>1</v>
      </c>
      <c r="G22" s="15">
        <f>IF(OR(C22="",F22=0),0,IF(D22=1,E22*F22*$E$3,E22*F22*$E$2))</f>
        <v/>
      </c>
      <c r="H22" s="16" t="inlineStr">
        <is>
          <t>us-east-1</t>
        </is>
      </c>
    </row>
    <row r="23" ht="20" customHeight="1">
      <c r="A23" s="43" t="inlineStr">
        <is>
          <t xml:space="preserve">  🌐  Data Transfer ($/GB or $/hr × Count × Duration)</t>
        </is>
      </c>
      <c r="B23" s="44" t="n"/>
      <c r="C23" s="44" t="n"/>
      <c r="D23" s="44" t="n"/>
      <c r="E23" s="44" t="n"/>
      <c r="F23" s="44" t="n"/>
      <c r="G23" s="44" t="n"/>
      <c r="H23" s="44" t="n"/>
    </row>
    <row r="24" ht="22" customHeight="1">
      <c r="A24" s="9" t="inlineStr">
        <is>
          <t>Lab Track</t>
        </is>
      </c>
      <c r="B24" s="9" t="inlineStr">
        <is>
          <t>Outbound to Internet</t>
        </is>
      </c>
      <c r="C24" s="10" t="inlineStr">
        <is>
          <t>Outbound AWS to Internet /GB</t>
        </is>
      </c>
      <c r="D24" s="18" t="n">
        <v>0</v>
      </c>
      <c r="E24" s="45">
        <f>IFERROR(VLOOKUP(C24,PRICES!$Y:$Z,2,0),0)</f>
        <v/>
      </c>
      <c r="F24" s="13" t="n">
        <v>100</v>
      </c>
      <c r="G24" s="15">
        <f>IF(OR(C24="",F24=0),0,IF(D24=1,E24*F24*$E$3,E24*F24*$E$2))</f>
        <v/>
      </c>
      <c r="H24" s="16" t="inlineStr">
        <is>
          <t>us-east-1</t>
        </is>
      </c>
    </row>
    <row r="25" ht="22" customHeight="1">
      <c r="A25" s="17" t="inlineStr">
        <is>
          <t>Lab Track</t>
        </is>
      </c>
      <c r="B25" s="17" t="inlineStr">
        <is>
          <t>Cross-Region (GB)</t>
        </is>
      </c>
      <c r="C25" s="10" t="inlineStr">
        <is>
          <t>Cross-Region outbound /GB</t>
        </is>
      </c>
      <c r="D25" s="18" t="n">
        <v>0</v>
      </c>
      <c r="E25" s="45">
        <f>IFERROR(VLOOKUP(C25,PRICES!$Y:$Z,2,0),0)</f>
        <v/>
      </c>
      <c r="F25" s="13" t="n">
        <v>50</v>
      </c>
      <c r="G25" s="21">
        <f>IF(OR(C25="",F25=0),0,IF(D25=1,E25*F25*$E$3,E25*F25*$E$2))</f>
        <v/>
      </c>
      <c r="H25" s="22" t="inlineStr">
        <is>
          <t>us-east-1</t>
        </is>
      </c>
    </row>
    <row r="26" ht="22" customHeight="1">
      <c r="A26" s="9" t="inlineStr">
        <is>
          <t>Lab Track</t>
        </is>
      </c>
      <c r="B26" s="9" t="inlineStr">
        <is>
          <t>Intra-Region AZ→AZ</t>
        </is>
      </c>
      <c r="C26" s="10" t="inlineStr">
        <is>
          <t>Intra-Region AZ-to-AZ /GB</t>
        </is>
      </c>
      <c r="D26" s="18" t="n">
        <v>0</v>
      </c>
      <c r="E26" s="45">
        <f>IFERROR(VLOOKUP(C26,PRICES!$Y:$Z,2,0),0)</f>
        <v/>
      </c>
      <c r="F26" s="13" t="n">
        <v>50</v>
      </c>
      <c r="G26" s="15">
        <f>IF(OR(C26="",F26=0),0,IF(D26=1,E26*F26*$E$3,E26*F26*$E$2))</f>
        <v/>
      </c>
      <c r="H26" s="16" t="inlineStr">
        <is>
          <t>us-east-1</t>
        </is>
      </c>
    </row>
    <row r="27" ht="22" customHeight="1">
      <c r="A27" s="17" t="inlineStr">
        <is>
          <t>Lab Track</t>
        </is>
      </c>
      <c r="B27" s="17" t="inlineStr">
        <is>
          <t>NAT Gateway</t>
        </is>
      </c>
      <c r="C27" s="10" t="inlineStr">
        <is>
          <t>NAT Gateway /hr</t>
        </is>
      </c>
      <c r="D27" s="18" t="n">
        <v>0</v>
      </c>
      <c r="E27" s="45">
        <f>IFERROR(VLOOKUP(C27,PRICES!$Y:$Z,2,0),0)</f>
        <v/>
      </c>
      <c r="F27" s="13" t="n">
        <v>1</v>
      </c>
      <c r="G27" s="21">
        <f>IF(OR(C27="",F27=0),0,IF(D27=1,E27*F27*$E$3,E27*F27*$E$2))</f>
        <v/>
      </c>
      <c r="H27" s="22" t="inlineStr">
        <is>
          <t>us-east-1</t>
        </is>
      </c>
    </row>
    <row r="28" ht="22" customHeight="1">
      <c r="A28" s="9" t="inlineStr"/>
      <c r="B28" s="9" t="inlineStr"/>
      <c r="C28" s="46" t="inlineStr"/>
      <c r="D28" s="18" t="n">
        <v>0</v>
      </c>
      <c r="E28" s="45">
        <f>IFERROR(VLOOKUP(C28,PRICES!$Y:$Z,2,0),0)</f>
        <v/>
      </c>
      <c r="F28" s="13" t="n">
        <v>10</v>
      </c>
      <c r="G28" s="15">
        <f>IF(OR(C28="",F28=0),0,IF(D28=1,E28*F28*$E$3,E28*F28*$E$2))</f>
        <v/>
      </c>
      <c r="H28" s="16" t="inlineStr">
        <is>
          <t>us-east-1</t>
        </is>
      </c>
    </row>
    <row r="29" ht="20" customHeight="1">
      <c r="A29" s="43" t="inlineStr">
        <is>
          <t xml:space="preserve">  🐳  ECS Fargate (vCPU $/hr + Memory $/hr — set counts separately)</t>
        </is>
      </c>
      <c r="B29" s="44" t="n"/>
      <c r="C29" s="44" t="n"/>
      <c r="D29" s="44" t="n"/>
      <c r="E29" s="44" t="n"/>
      <c r="F29" s="44" t="n"/>
      <c r="G29" s="44" t="n"/>
      <c r="H29" s="44" t="n"/>
    </row>
    <row r="30" ht="22" customHeight="1">
      <c r="A30" s="9" t="inlineStr">
        <is>
          <t>Lab Track</t>
        </is>
      </c>
      <c r="B30" s="9" t="inlineStr">
        <is>
          <t>ECS Fargate vCPU</t>
        </is>
      </c>
      <c r="C30" s="10" t="inlineStr">
        <is>
          <t>Fargate vCPU</t>
        </is>
      </c>
      <c r="D30" s="11" t="n">
        <v>1</v>
      </c>
      <c r="E30" s="45">
        <f>IFERROR(VLOOKUP(C30,PRICES!$S:$T,2,0),0)</f>
        <v/>
      </c>
      <c r="F30" s="13" t="n">
        <v>2</v>
      </c>
      <c r="G30" s="15">
        <f>IF(OR(C30="",F30=0),0,IF(D30=1,E30*F30*$E$3,E30*F30*$E$2))</f>
        <v/>
      </c>
      <c r="H30" s="16" t="inlineStr">
        <is>
          <t>us-east-1</t>
        </is>
      </c>
    </row>
    <row r="31" ht="22" customHeight="1">
      <c r="A31" s="17" t="inlineStr">
        <is>
          <t>Lab Track</t>
        </is>
      </c>
      <c r="B31" s="17" t="inlineStr">
        <is>
          <t>ECS Fargate Memory</t>
        </is>
      </c>
      <c r="C31" s="10" t="inlineStr">
        <is>
          <t>Fargate Memory (GB)</t>
        </is>
      </c>
      <c r="D31" s="11" t="n">
        <v>1</v>
      </c>
      <c r="E31" s="45">
        <f>IFERROR(VLOOKUP(C31,PRICES!$S:$T,2,0),0)</f>
        <v/>
      </c>
      <c r="F31" s="13" t="n">
        <v>4</v>
      </c>
      <c r="G31" s="21">
        <f>IF(OR(C31="",F31=0),0,IF(D31=1,E31*F31*$E$3,E31*F31*$E$2))</f>
        <v/>
      </c>
      <c r="H31" s="22" t="inlineStr">
        <is>
          <t>us-east-1</t>
        </is>
      </c>
    </row>
    <row r="32" ht="22" customHeight="1">
      <c r="A32" s="9" t="inlineStr"/>
      <c r="B32" s="9" t="inlineStr"/>
      <c r="C32" s="46" t="inlineStr"/>
      <c r="D32" s="11" t="n">
        <v>1</v>
      </c>
      <c r="E32" s="45">
        <f>IFERROR(VLOOKUP(C32,PRICES!$S:$T,2,0),0)</f>
        <v/>
      </c>
      <c r="F32" s="13" t="n">
        <v>1</v>
      </c>
      <c r="G32" s="15">
        <f>IF(OR(C32="",F32=0),0,IF(D32=1,E32*F32*$E$3,E32*F32*$E$2))</f>
        <v/>
      </c>
      <c r="H32" s="16" t="inlineStr">
        <is>
          <t>us-east-1</t>
        </is>
      </c>
    </row>
    <row r="33" ht="20" customHeight="1">
      <c r="A33" s="43" t="inlineStr">
        <is>
          <t xml:space="preserve">  ⎈  EKS — $0.10/hr cluster + Fargate node costs</t>
        </is>
      </c>
      <c r="B33" s="44" t="n"/>
      <c r="C33" s="44" t="n"/>
      <c r="D33" s="44" t="n"/>
      <c r="E33" s="44" t="n"/>
      <c r="F33" s="44" t="n"/>
      <c r="G33" s="44" t="n"/>
      <c r="H33" s="44" t="n"/>
    </row>
    <row r="34" ht="22" customHeight="1">
      <c r="A34" s="9" t="inlineStr">
        <is>
          <t>Lab Track</t>
        </is>
      </c>
      <c r="B34" s="9" t="inlineStr">
        <is>
          <t>EKS Cluster</t>
        </is>
      </c>
      <c r="C34" s="10" t="inlineStr">
        <is>
          <t>EKS Cluster</t>
        </is>
      </c>
      <c r="D34" s="11" t="n">
        <v>1</v>
      </c>
      <c r="E34" s="45">
        <f>IFERROR(VLOOKUP(C34,PRICES!$V:$W,2,0),0)</f>
        <v/>
      </c>
      <c r="F34" s="13" t="n">
        <v>1</v>
      </c>
      <c r="G34" s="15">
        <f>IF(OR(C34="",F34=0),0,IF(D34=1,E34*F34*$E$3,E34*F34*$E$2))</f>
        <v/>
      </c>
      <c r="H34" s="16" t="inlineStr">
        <is>
          <t>us-east-1</t>
        </is>
      </c>
    </row>
    <row r="35" ht="22" customHeight="1">
      <c r="A35" s="17" t="inlineStr">
        <is>
          <t>Lab Track</t>
        </is>
      </c>
      <c r="B35" s="17" t="inlineStr">
        <is>
          <t>EKS Fargate vCPU</t>
        </is>
      </c>
      <c r="C35" s="10" t="inlineStr">
        <is>
          <t>EKS Fargate vCPU</t>
        </is>
      </c>
      <c r="D35" s="11" t="n">
        <v>1</v>
      </c>
      <c r="E35" s="45">
        <f>IFERROR(VLOOKUP(C35,PRICES!$V:$W,2,0),0)</f>
        <v/>
      </c>
      <c r="F35" s="13" t="n">
        <v>4</v>
      </c>
      <c r="G35" s="21">
        <f>IF(OR(C35="",F35=0),0,IF(D35=1,E35*F35*$E$3,E35*F35*$E$2))</f>
        <v/>
      </c>
      <c r="H35" s="22" t="inlineStr">
        <is>
          <t>us-east-1</t>
        </is>
      </c>
    </row>
    <row r="36" ht="22" customHeight="1">
      <c r="A36" s="9" t="inlineStr">
        <is>
          <t>Lab Track</t>
        </is>
      </c>
      <c r="B36" s="9" t="inlineStr">
        <is>
          <t>EKS Fargate Memory</t>
        </is>
      </c>
      <c r="C36" s="10" t="inlineStr">
        <is>
          <t>EKS Fargate Mem(GB)</t>
        </is>
      </c>
      <c r="D36" s="11" t="n">
        <v>1</v>
      </c>
      <c r="E36" s="45">
        <f>IFERROR(VLOOKUP(C36,PRICES!$V:$W,2,0),0)</f>
        <v/>
      </c>
      <c r="F36" s="13" t="n">
        <v>8</v>
      </c>
      <c r="G36" s="15">
        <f>IF(OR(C36="",F36=0),0,IF(D36=1,E36*F36*$E$3,E36*F36*$E$2))</f>
        <v/>
      </c>
      <c r="H36" s="16" t="inlineStr">
        <is>
          <t>us-east-1</t>
        </is>
      </c>
    </row>
    <row r="37" ht="22" customHeight="1">
      <c r="A37" s="17" t="inlineStr"/>
      <c r="B37" s="17" t="inlineStr"/>
      <c r="C37" s="23" t="inlineStr"/>
      <c r="D37" s="11" t="n">
        <v>1</v>
      </c>
      <c r="E37" s="45">
        <f>IFERROR(VLOOKUP(C37,PRICES!$V:$W,2,0),0)</f>
        <v/>
      </c>
      <c r="F37" s="13" t="n">
        <v>1</v>
      </c>
      <c r="G37" s="21">
        <f>IF(OR(C37="",F37=0),0,IF(D37=1,E37*F37*$E$3,E37*F37*$E$2))</f>
        <v/>
      </c>
      <c r="H37" s="22" t="inlineStr">
        <is>
          <t>us-east-1</t>
        </is>
      </c>
    </row>
    <row r="38" ht="8" customHeight="1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30" customHeight="1">
      <c r="A39" s="24" t="inlineStr">
        <is>
          <t>Total Cost Per User</t>
        </is>
      </c>
      <c r="G39" s="25">
        <f>SUM(G10:G37)</f>
        <v/>
      </c>
      <c r="H39" s="47" t="n"/>
    </row>
    <row r="40" ht="8" customHeight="1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34" customHeight="1">
      <c r="A41" s="26" t="inlineStr">
        <is>
          <t>Total cost for all users  (Total Per User × Users in E4)</t>
        </is>
      </c>
      <c r="G41" s="27">
        <f>G39*$E$4</f>
        <v/>
      </c>
      <c r="H41" s="48" t="n"/>
    </row>
    <row r="42" ht="22" customHeight="1"/>
    <row r="43" ht="22" customHeight="1">
      <c r="A43" s="29" t="inlineStr">
        <is>
          <t xml:space="preserve">  ℹ️  Pause=1→$/hr×Count×Uptime(E3)  |  Pause=0→$/hr×Count×Lab Duration(E2)  |  ECS/EKS: add vCPU row + Memory row separately  |  EBS: $/hr pre-calc per size  |  Data Transfer: $/GB×GB count×duration</t>
        </is>
      </c>
    </row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9">
    <mergeCell ref="A41:F41"/>
    <mergeCell ref="A1:H1"/>
    <mergeCell ref="A6:H6"/>
    <mergeCell ref="A7:H7"/>
    <mergeCell ref="A43:H43"/>
    <mergeCell ref="A4:D4"/>
    <mergeCell ref="A3:D3"/>
    <mergeCell ref="A2:D2"/>
    <mergeCell ref="A39:F39"/>
  </mergeCells>
  <dataValidations count="9">
    <dataValidation sqref="C10 C12 C13 C18 C19 C20 C21" showDropDown="0" showInputMessage="0" showErrorMessage="1" allowBlank="1" error="Select from list" type="list">
      <formula1>"t2.micro,t2.small,t2.medium,t2.large,t3.micro,t3.small,t3.medium,t3.large,t3.xlarge,t3.2xlarge,t3a.small,t3a.medium,t3a.large,m5.large,m5.xlarge,m5.2xlarge,m5.4xlarge,m5a.large,m5a.xlarge,c5.large,c5.xlarge,c5.2xlarge,c5.4xlarge,c6in.xlarge,c6in.2xlarge,r5.large,r5.xlarge,r5.2xlarge,r5.4xlarge,r6g.large,r6g.xlarge,g4dn.xlarge,g4dn.2xlarge,p3.2xlarge"</formula1>
    </dataValidation>
    <dataValidation sqref="C11" showDropDown="0" showInputMessage="0" showErrorMessage="1" allowBlank="1" error="Select from list" type="list">
      <formula1>"gp3,gp2,io2,io1,st1,sc1"</formula1>
    </dataValidation>
    <dataValidation sqref="C16" showDropDown="0" showInputMessage="0" showErrorMessage="1" allowBlank="1" error="Select from list" type="list">
      <formula1>"db.t3.micro,db.t3.small,db.t3.medium,db.t3.large,db.m5.large,db.m5.xlarge,db.m5.2xlarge,db.r5.large,db.r5.xlarge,db.r5.2xlarge"</formula1>
    </dataValidation>
    <dataValidation sqref="C15" showDropDown="0" showInputMessage="0" showErrorMessage="1" allowBlank="1" error="Select from list" type="list">
      <formula1>"Application LB (ALB),Network LB (NLB),Classic LB (CLB),Gateway LB (GWLB)"</formula1>
    </dataValidation>
    <dataValidation sqref="C17" showDropDown="0" showInputMessage="0" showErrorMessage="1" allowBlank="1" error="Select from list" type="list">
      <formula1>"Standard,Intelligent-Tiering,Standard-IA,One Zone-IA,Glacier Instant,Glacier Flexible,Glacier Deep Archive"</formula1>
    </dataValidation>
    <dataValidation sqref="C19 C20 C21 C22" showDropDown="0" showInputMessage="0" showErrorMessage="1" allowBlank="1" error="Select from list" type="list">
      <formula1>"gp3 - 50GB,gp3 - 100GB,gp3 - 200GB,gp3 - 500GB,gp3 - 1TB,gp2 - 50GB,gp2 - 100GB,gp2 - 200GB,io2 - 100GB,io2 - 500GB,io2 - 1TB,st1 - 500GB,st1 - 1TB,sc1 - 500GB,sc1 - 1TB"</formula1>
    </dataValidation>
    <dataValidation sqref="C24 C25 C26 C27 C28" showDropDown="0" showInputMessage="0" showErrorMessage="1" allowBlank="1" error="Select from list" type="list">
      <formula1>"Inbound Internet to AWS,Outbound AWS to Internet /GB,Outbound 10-50TB tier /GB,Cross-Region outbound /GB,Intra-Region AZ-to-AZ /GB,AWS to CloudFront /GB,VPC Peering same region /GB,NAT Gateway /GB,NAT Gateway /hr"</formula1>
    </dataValidation>
    <dataValidation sqref="C30 C31 C32" showDropDown="0" showInputMessage="0" showErrorMessage="1" allowBlank="1" error="Select from list" type="list">
      <formula1>"Fargate vCPU,Fargate Memory (GB),Fargate Windows vCPU,Fargate Windows Mem(GB)"</formula1>
    </dataValidation>
    <dataValidation sqref="C34 C35 C36 C37" showDropDown="0" showInputMessage="0" showErrorMessage="1" allowBlank="1" error="Select from list" type="list">
      <formula1>"EKS Cluster,EKS Fargate vCPU,EKS Fargate Mem(GB)"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2026-03-20T09:31:09Z</dcterms:created>
  <dcterms:modified xmlns:dcterms="http://purl.org/dc/terms/" xmlns:xsi="http://www.w3.org/2001/XMLSchema-instance" xsi:type="dcterms:W3CDTF">2026-03-20T11:32:18Z</dcterms:modified>
</cp:coreProperties>
</file>